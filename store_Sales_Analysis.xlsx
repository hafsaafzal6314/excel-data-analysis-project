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excel projecs/"/>
    </mc:Choice>
  </mc:AlternateContent>
  <xr:revisionPtr revIDLastSave="157" documentId="8_{C9981DFA-FBA2-4516-8F42-C9175EC63AD4}" xr6:coauthVersionLast="47" xr6:coauthVersionMax="47" xr10:uidLastSave="{726946BD-04C8-4095-91C8-B00662D78E25}"/>
  <bookViews>
    <workbookView xWindow="-96" yWindow="0" windowWidth="11712" windowHeight="12336" activeTab="2" xr2:uid="{36A38757-F5AB-4120-85F0-888CE1CCF741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2" l="1"/>
  <c r="I17" i="2"/>
  <c r="G17" i="2"/>
  <c r="I15" i="2"/>
  <c r="I16" i="2"/>
  <c r="I13" i="2"/>
  <c r="I2" i="2"/>
  <c r="I7" i="2"/>
  <c r="I12" i="2"/>
  <c r="I8" i="2"/>
  <c r="I11" i="2"/>
  <c r="I4" i="2"/>
  <c r="I5" i="2"/>
  <c r="I9" i="2"/>
  <c r="I6" i="2"/>
  <c r="I3" i="2"/>
  <c r="I14" i="2"/>
  <c r="I10" i="2"/>
</calcChain>
</file>

<file path=xl/sharedStrings.xml><?xml version="1.0" encoding="utf-8"?>
<sst xmlns="http://schemas.openxmlformats.org/spreadsheetml/2006/main" count="179" uniqueCount="53">
  <si>
    <t>Order ID</t>
  </si>
  <si>
    <t>Date</t>
  </si>
  <si>
    <t>Customer</t>
  </si>
  <si>
    <t>City</t>
  </si>
  <si>
    <t>Category</t>
  </si>
  <si>
    <t>Product</t>
  </si>
  <si>
    <t>Quantity</t>
  </si>
  <si>
    <t>Unit Price</t>
  </si>
  <si>
    <t>Aisha</t>
  </si>
  <si>
    <t>Hyderabad</t>
  </si>
  <si>
    <t>Electronics</t>
  </si>
  <si>
    <t>Wireless Mouse</t>
  </si>
  <si>
    <t>Rahul</t>
  </si>
  <si>
    <t>Mumbai</t>
  </si>
  <si>
    <t>Keyboard</t>
  </si>
  <si>
    <t>Priya</t>
  </si>
  <si>
    <t>Delhi</t>
  </si>
  <si>
    <t>Home</t>
  </si>
  <si>
    <t>Mixer Grinder</t>
  </si>
  <si>
    <t>Arjun</t>
  </si>
  <si>
    <t>Chennai</t>
  </si>
  <si>
    <t>Monitor</t>
  </si>
  <si>
    <t>Fatima</t>
  </si>
  <si>
    <t>Fashion</t>
  </si>
  <si>
    <t>Shoes</t>
  </si>
  <si>
    <t>Vikram</t>
  </si>
  <si>
    <t>Bengaluru</t>
  </si>
  <si>
    <t>Laptop Bag</t>
  </si>
  <si>
    <t>Neha</t>
  </si>
  <si>
    <t>Pune</t>
  </si>
  <si>
    <t>Air Fryer</t>
  </si>
  <si>
    <t>Imran</t>
  </si>
  <si>
    <t>Jacket</t>
  </si>
  <si>
    <t>Sneha</t>
  </si>
  <si>
    <t>Headphones</t>
  </si>
  <si>
    <t>Kiran</t>
  </si>
  <si>
    <t>Vacuum Cleaner</t>
  </si>
  <si>
    <t>Riya</t>
  </si>
  <si>
    <t>Handbag</t>
  </si>
  <si>
    <t>Aman</t>
  </si>
  <si>
    <t>Smart Watch</t>
  </si>
  <si>
    <t>Sara</t>
  </si>
  <si>
    <t>Microwave Oven</t>
  </si>
  <si>
    <t>Kabir</t>
  </si>
  <si>
    <t>T-Shirt</t>
  </si>
  <si>
    <t>Zoya</t>
  </si>
  <si>
    <t>Bluetooth Speaker</t>
  </si>
  <si>
    <t>total sales</t>
  </si>
  <si>
    <t>Row Labels</t>
  </si>
  <si>
    <t>Grand Total</t>
  </si>
  <si>
    <t>Sum of total sales</t>
  </si>
  <si>
    <t>Count of Order 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</si>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</sst>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[store_Sales_Analysis.xlsx]Sheet3!PivotTable1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Sheet3!$B$2:$B$8</c:f>
              <c:numCache>
                <c:formatCode>General</c:formatCode>
                <c:ptCount val="6"/>
                <c:pt idx="0">
                  <c:v>7100</c:v>
                </c:pt>
                <c:pt idx="1">
                  <c:v>30400</c:v>
                </c:pt>
                <c:pt idx="2">
                  <c:v>13500</c:v>
                </c:pt>
                <c:pt idx="3">
                  <c:v>23200</c:v>
                </c:pt>
                <c:pt idx="4">
                  <c:v>18100</c:v>
                </c:pt>
                <c:pt idx="5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6-4A2D-9332-D4A6B1645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530015"/>
        <c:axId val="1444540095"/>
      </c:barChart>
      <c:catAx>
        <c:axId val="14445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40095"/>
        <c:crosses val="autoZero"/>
        <c:auto val="1"/>
        <c:lblAlgn val="ctr"/>
        <c:lblOffset val="100"/>
        <c:noMultiLvlLbl val="0"/>
      </c:catAx>
      <c:valAx>
        <c:axId val="14445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3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Sheet3!$A$20:$A$23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Sheet3!$B$20:$B$23</c:f>
              <c:numCache>
                <c:formatCode>General</c:formatCode>
                <c:ptCount val="3"/>
                <c:pt idx="0">
                  <c:v>55200</c:v>
                </c:pt>
                <c:pt idx="1">
                  <c:v>22100</c:v>
                </c:pt>
                <c:pt idx="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4-4340-94EF-6962CCD42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101183"/>
        <c:axId val="1767117023"/>
      </c:barChart>
      <c:catAx>
        <c:axId val="17671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17023"/>
        <c:crosses val="autoZero"/>
        <c:auto val="1"/>
        <c:lblAlgn val="ctr"/>
        <c:lblOffset val="100"/>
        <c:noMultiLvlLbl val="0"/>
      </c:catAx>
      <c:valAx>
        <c:axId val="176711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[store_Sales_Analysis.xlsx]Sheet3!PivotTable3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Sheet3!$A$37:$A$43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Sheet3!$B$37:$B$43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0-4E77-9558-31D7611A5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109343"/>
        <c:axId val="1767109823"/>
      </c:barChart>
      <c:catAx>
        <c:axId val="176710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09823"/>
        <c:crosses val="autoZero"/>
        <c:auto val="1"/>
        <c:lblAlgn val="ctr"/>
        <c:lblOffset val="100"/>
        <c:noMultiLvlLbl val="0"/>
      </c:catAx>
      <c:valAx>
        <c:axId val="17671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0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[store_Sales_Analysis.xlsx]Sheet3!PivotTable4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Sheet3!$A$53:$A$68</c:f>
              <c:strCache>
                <c:ptCount val="15"/>
                <c:pt idx="0">
                  <c:v>T-Shirt</c:v>
                </c:pt>
                <c:pt idx="1">
                  <c:v>Headphones</c:v>
                </c:pt>
                <c:pt idx="2">
                  <c:v>Shoes</c:v>
                </c:pt>
                <c:pt idx="3">
                  <c:v>Wireless Mouse</c:v>
                </c:pt>
                <c:pt idx="4">
                  <c:v>Monitor</c:v>
                </c:pt>
                <c:pt idx="5">
                  <c:v>Bluetooth Speaker</c:v>
                </c:pt>
                <c:pt idx="6">
                  <c:v>Handbag</c:v>
                </c:pt>
                <c:pt idx="7">
                  <c:v>Jacket</c:v>
                </c:pt>
                <c:pt idx="8">
                  <c:v>Laptop Bag</c:v>
                </c:pt>
                <c:pt idx="9">
                  <c:v>Mixer Grinder</c:v>
                </c:pt>
                <c:pt idx="10">
                  <c:v>Keyboard</c:v>
                </c:pt>
                <c:pt idx="11">
                  <c:v>Vacuum Cleaner</c:v>
                </c:pt>
                <c:pt idx="12">
                  <c:v>Air Fryer</c:v>
                </c:pt>
                <c:pt idx="13">
                  <c:v>Smart Watch</c:v>
                </c:pt>
                <c:pt idx="14">
                  <c:v>Microwave Oven</c:v>
                </c:pt>
              </c:strCache>
            </c:strRef>
          </c:cat>
          <c:val>
            <c:numRef>
              <c:f>Sheet3!$B$53:$B$68</c:f>
              <c:numCache>
                <c:formatCode>General</c:formatCode>
                <c:ptCount val="1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7-4D39-88D7-F2E0AC43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407295"/>
        <c:axId val="1795396735"/>
      </c:barChart>
      <c:catAx>
        <c:axId val="17954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396735"/>
        <c:crosses val="autoZero"/>
        <c:auto val="1"/>
        <c:lblAlgn val="ctr"/>
        <c:lblOffset val="100"/>
        <c:noMultiLvlLbl val="0"/>
      </c:catAx>
      <c:valAx>
        <c:axId val="17953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140970</xdr:rowOff>
    </xdr:from>
    <xdr:to>
      <xdr:col>10</xdr:col>
      <xdr:colOff>403860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053AB-30B7-19AE-69FF-0B62FE51E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297186</xdr:colOff>
      <xdr:row>16</xdr:row>
      <xdr:rowOff>163830</xdr:rowOff>
    </xdr:from>
    <xdr:to>
      <xdr:col>10</xdr:col>
      <xdr:colOff>284238</xdr:colOff>
      <xdr:row>33</xdr:row>
      <xdr:rowOff>151190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5873E5-844B-851E-60B3-F33F85DA2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205746</xdr:colOff>
      <xdr:row>33</xdr:row>
      <xdr:rowOff>64770</xdr:rowOff>
    </xdr:from>
    <xdr:to>
      <xdr:col>10</xdr:col>
      <xdr:colOff>211667</xdr:colOff>
      <xdr:row>50</xdr:row>
      <xdr:rowOff>90714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762875-6472-BAE0-F596-B7A70422E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182886</xdr:colOff>
      <xdr:row>51</xdr:row>
      <xdr:rowOff>26670</xdr:rowOff>
    </xdr:from>
    <xdr:to>
      <xdr:col>10</xdr:col>
      <xdr:colOff>53346</xdr:colOff>
      <xdr:row>66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4486E4-6C06-9CDD-DA58-F0B9F6212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" refreshedDate="46188.76910902778" createdVersion="8" refreshedVersion="8" minRefreshableVersion="3" recordCount="15" xr:uid="{6F461E6C-E926-4223-877B-F4FEEA99EFF6}">
  <cacheSource type="worksheet">
    <worksheetSource name="Table24"/>
  </cacheSource>
  <cacheFields count="9">
    <cacheField name="Order ID" numFmtId="0">
      <sharedItems containsSemiMixedTypes="0" containsString="0" containsNumber="1" containsInteger="1" minValue="1001" maxValue="1015"/>
    </cacheField>
    <cacheField name="Date" numFmtId="14">
      <sharedItems containsSemiMixedTypes="0" containsNonDate="0" containsDate="1" containsString="0" minDate="2026-06-01T00:00:00" maxDate="2026-06-09T00:00:00"/>
    </cacheField>
    <cacheField name="Customer" numFmtId="0">
      <sharedItems/>
    </cacheField>
    <cacheField name="City" numFmtId="0">
      <sharedItems count="6">
        <s v="Chennai"/>
        <s v="Mumbai"/>
        <s v="Delhi"/>
        <s v="Hyderabad"/>
        <s v="Pune"/>
        <s v="Bengaluru"/>
      </sharedItems>
    </cacheField>
    <cacheField name="Category" numFmtId="0">
      <sharedItems count="3">
        <s v="Electronics"/>
        <s v="Home"/>
        <s v="Fashion"/>
      </sharedItems>
    </cacheField>
    <cacheField name="Product" numFmtId="0">
      <sharedItems count="15">
        <s v="Monitor"/>
        <s v="Microwave Oven"/>
        <s v="Headphones"/>
        <s v="Vacuum Cleaner"/>
        <s v="Smart Watch"/>
        <s v="Shoes"/>
        <s v="Air Fryer"/>
        <s v="Handbag"/>
        <s v="Bluetooth Speaker"/>
        <s v="Jacket"/>
        <s v="Laptop Bag"/>
        <s v="Mixer Grinder"/>
        <s v="T-Shirt"/>
        <s v="Wireless Mouse"/>
        <s v="Keyboard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700" maxValue="12000"/>
    </cacheField>
    <cacheField name="total sales" numFmtId="0">
      <sharedItems containsSemiMixedTypes="0" containsString="0" containsNumber="1" containsInteger="1" minValue="1500" maxValue="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4"/>
    <d v="2026-06-02T00:00:00"/>
    <s v="Arjun"/>
    <x v="0"/>
    <x v="0"/>
    <x v="0"/>
    <n v="2"/>
    <n v="12000"/>
    <n v="24000"/>
  </r>
  <r>
    <n v="1013"/>
    <d v="2026-06-07T00:00:00"/>
    <s v="Sara"/>
    <x v="1"/>
    <x v="1"/>
    <x v="1"/>
    <n v="1"/>
    <n v="11000"/>
    <n v="11000"/>
  </r>
  <r>
    <n v="1009"/>
    <d v="2026-06-05T00:00:00"/>
    <s v="Sneha"/>
    <x v="2"/>
    <x v="0"/>
    <x v="2"/>
    <n v="4"/>
    <n v="2500"/>
    <n v="10000"/>
  </r>
  <r>
    <n v="1010"/>
    <d v="2026-06-05T00:00:00"/>
    <s v="Kiran"/>
    <x v="3"/>
    <x v="1"/>
    <x v="3"/>
    <n v="1"/>
    <n v="9000"/>
    <n v="9000"/>
  </r>
  <r>
    <n v="1012"/>
    <d v="2026-06-06T00:00:00"/>
    <s v="Aman"/>
    <x v="4"/>
    <x v="0"/>
    <x v="4"/>
    <n v="1"/>
    <n v="8500"/>
    <n v="8500"/>
  </r>
  <r>
    <n v="1005"/>
    <d v="2026-06-03T00:00:00"/>
    <s v="Fatima"/>
    <x v="3"/>
    <x v="2"/>
    <x v="5"/>
    <n v="3"/>
    <n v="2200"/>
    <n v="6600"/>
  </r>
  <r>
    <n v="1007"/>
    <d v="2026-06-04T00:00:00"/>
    <s v="Neha"/>
    <x v="4"/>
    <x v="1"/>
    <x v="6"/>
    <n v="1"/>
    <n v="6500"/>
    <n v="6500"/>
  </r>
  <r>
    <n v="1011"/>
    <d v="2026-06-06T00:00:00"/>
    <s v="Riya"/>
    <x v="0"/>
    <x v="2"/>
    <x v="7"/>
    <n v="2"/>
    <n v="3200"/>
    <n v="6400"/>
  </r>
  <r>
    <n v="1015"/>
    <d v="2026-06-08T00:00:00"/>
    <s v="Zoya"/>
    <x v="3"/>
    <x v="0"/>
    <x v="8"/>
    <n v="2"/>
    <n v="3000"/>
    <n v="6000"/>
  </r>
  <r>
    <n v="1008"/>
    <d v="2026-06-04T00:00:00"/>
    <s v="Imran"/>
    <x v="1"/>
    <x v="2"/>
    <x v="9"/>
    <n v="2"/>
    <n v="2800"/>
    <n v="5600"/>
  </r>
  <r>
    <n v="1006"/>
    <d v="2026-06-03T00:00:00"/>
    <s v="Vikram"/>
    <x v="5"/>
    <x v="0"/>
    <x v="10"/>
    <n v="2"/>
    <n v="1800"/>
    <n v="3600"/>
  </r>
  <r>
    <n v="1003"/>
    <d v="2026-06-02T00:00:00"/>
    <s v="Priya"/>
    <x v="2"/>
    <x v="1"/>
    <x v="11"/>
    <n v="1"/>
    <n v="3500"/>
    <n v="3500"/>
  </r>
  <r>
    <n v="1014"/>
    <d v="2026-06-07T00:00:00"/>
    <s v="Kabir"/>
    <x v="5"/>
    <x v="2"/>
    <x v="12"/>
    <n v="5"/>
    <n v="700"/>
    <n v="3500"/>
  </r>
  <r>
    <n v="1001"/>
    <d v="2026-06-01T00:00:00"/>
    <s v="Aisha"/>
    <x v="3"/>
    <x v="0"/>
    <x v="13"/>
    <n v="2"/>
    <n v="800"/>
    <n v="1600"/>
  </r>
  <r>
    <n v="1002"/>
    <d v="2026-06-01T00:00:00"/>
    <s v="Rahul"/>
    <x v="1"/>
    <x v="0"/>
    <x v="14"/>
    <n v="1"/>
    <n v="1500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268EF-5AC7-47A2-89F1-D28C4D7D3C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9">
    <pivotField showAll="0"/>
    <pivotField numFmtId="14" showAll="0"/>
    <pivotField showAll="0"/>
    <pivotField axis="axisRow" showAll="0">
      <items count="7">
        <item x="5"/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3F2B7-DC4D-4659-967F-E34C112FD7E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2:B68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 sortType="descending">
      <items count="16">
        <item x="6"/>
        <item x="8"/>
        <item x="7"/>
        <item x="2"/>
        <item x="9"/>
        <item x="14"/>
        <item x="10"/>
        <item x="1"/>
        <item x="11"/>
        <item x="0"/>
        <item x="5"/>
        <item x="4"/>
        <item x="12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5"/>
  </rowFields>
  <rowItems count="16">
    <i>
      <x v="12"/>
    </i>
    <i>
      <x v="3"/>
    </i>
    <i>
      <x v="10"/>
    </i>
    <i>
      <x v="14"/>
    </i>
    <i>
      <x v="9"/>
    </i>
    <i>
      <x v="1"/>
    </i>
    <i>
      <x v="2"/>
    </i>
    <i>
      <x v="4"/>
    </i>
    <i>
      <x v="6"/>
    </i>
    <i>
      <x v="8"/>
    </i>
    <i>
      <x v="5"/>
    </i>
    <i>
      <x v="13"/>
    </i>
    <i>
      <x/>
    </i>
    <i>
      <x v="11"/>
    </i>
    <i>
      <x v="7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E0CFF-7E83-45E8-B9E7-8BC7B22EACF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B43" firstHeaderRow="1" firstDataRow="1" firstDataCol="1"/>
  <pivotFields count="9">
    <pivotField dataField="1" showAll="0"/>
    <pivotField numFmtId="14" showAll="0"/>
    <pivotField showAll="0"/>
    <pivotField axis="axisRow" showAll="0">
      <items count="7">
        <item x="5"/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ED110-2724-43FD-A624-E3FA0C805E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9:B23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350C60-269F-47B0-9173-AF24AE8FBBDA}" name="Table2" displayName="Table2" ref="A1:H16" totalsRowShown="0" headerRowDxfId="33" dataDxfId="32">
  <autoFilter ref="A1:H16" xr:uid="{A6350C60-269F-47B0-9173-AF24AE8FBBDA}"/>
  <tableColumns count="8">
    <tableColumn id="1" xr3:uid="{44DEE5C9-36A8-4947-89D3-517EBD9E5776}" name="Order ID" dataDxfId="31"/>
    <tableColumn id="2" xr3:uid="{787B4CA9-B52B-4DD4-B33B-3DD41490CFDE}" name="Date" dataDxfId="30"/>
    <tableColumn id="3" xr3:uid="{4186C972-330B-42C3-8C4D-3DFBEDA79B94}" name="Customer" dataDxfId="29"/>
    <tableColumn id="4" xr3:uid="{21B86F21-E2A8-4A0B-A972-7AB5C0F106B0}" name="City" dataDxfId="28"/>
    <tableColumn id="5" xr3:uid="{10884012-5B44-475C-AB30-9B3ABD53067D}" name="Category" dataDxfId="27"/>
    <tableColumn id="6" xr3:uid="{02D790ED-8E86-423D-B8CE-6A832CFF74A4}" name="Product" dataDxfId="26"/>
    <tableColumn id="7" xr3:uid="{270ED723-0D0A-4193-A64B-E82E513EBC75}" name="Quantity" dataDxfId="25"/>
    <tableColumn id="8" xr3:uid="{385EF20A-C970-4944-850C-6B04BE2ACF41}" name="Unit Pric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2EBBC9-229C-49AB-8915-C3B935D85566}" name="Table24" displayName="Table24" ref="A1:I17" totalsRowCount="1" headerRowDxfId="23" dataDxfId="22">
  <autoFilter ref="A1:I16" xr:uid="{BC2EBBC9-229C-49AB-8915-C3B935D85566}"/>
  <sortState xmlns:xlrd2="http://schemas.microsoft.com/office/spreadsheetml/2017/richdata2" ref="A2:I16">
    <sortCondition descending="1" ref="I1:I16"/>
  </sortState>
  <tableColumns count="9">
    <tableColumn id="1" xr3:uid="{5F7BACF4-BA58-4310-9DBF-1B3D07F845D8}" name="Order ID" dataDxfId="21" totalsRowDxfId="20"/>
    <tableColumn id="2" xr3:uid="{D8DD7D8A-5804-416C-930A-CF8F07345156}" name="Date" dataDxfId="19" totalsRowDxfId="18"/>
    <tableColumn id="3" xr3:uid="{661742B9-8653-48CC-8397-4C761096B7B4}" name="Customer" dataDxfId="17" totalsRowDxfId="16"/>
    <tableColumn id="4" xr3:uid="{14039E12-3959-4383-8894-45E4E5E9CE9C}" name="City" dataDxfId="15" totalsRowDxfId="14"/>
    <tableColumn id="5" xr3:uid="{8BED2ABC-1213-42B0-8B4C-1E2487438208}" name="Category" dataDxfId="13" totalsRowDxfId="12"/>
    <tableColumn id="6" xr3:uid="{3C1C078C-909A-4122-A5D4-27AEE1C4CACC}" name="Product" dataDxfId="11" totalsRowDxfId="10"/>
    <tableColumn id="7" xr3:uid="{A5746411-DB35-445A-8E69-E8D49EA32DA5}" name="Quantity" totalsRowFunction="custom" dataDxfId="9" totalsRowDxfId="8">
      <totalsRowFormula>SUM(G2:G16)</totalsRowFormula>
    </tableColumn>
    <tableColumn id="8" xr3:uid="{24F05FEC-756B-4DCD-96CB-460AAE316394}" name="Unit Price" totalsRowFunction="custom" dataDxfId="7" totalsRowDxfId="6">
      <totalsRowFormula>AVERAGE(H2:H16)</totalsRowFormula>
    </tableColumn>
    <tableColumn id="9" xr3:uid="{885D93A5-E98C-43B9-A99B-7F7AAC79B808}" name="total sales" totalsRowFunction="custom" dataDxfId="5" totalsRowDxfId="4">
      <calculatedColumnFormula>G2*H2</calculatedColumnFormula>
      <totalsRowFormula>SUM(I2:I16)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87EE-C724-4EA7-9685-D5D53E293AD0}">
  <dimension ref="A1:H16"/>
  <sheetViews>
    <sheetView workbookViewId="0">
      <selection activeCell="B1" sqref="B1:B1048576"/>
    </sheetView>
  </sheetViews>
  <sheetFormatPr defaultRowHeight="14.4" x14ac:dyDescent="0.3"/>
  <cols>
    <col min="1" max="1" width="9.88671875" customWidth="1"/>
    <col min="2" max="2" width="15" customWidth="1"/>
    <col min="3" max="3" width="11" customWidth="1"/>
    <col min="5" max="5" width="10.44140625" customWidth="1"/>
    <col min="6" max="6" width="9.5546875" customWidth="1"/>
    <col min="7" max="7" width="10.2187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1001</v>
      </c>
      <c r="B2" s="3">
        <v>46174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2">
        <v>800</v>
      </c>
    </row>
    <row r="3" spans="1:8" x14ac:dyDescent="0.3">
      <c r="A3" s="2">
        <v>1002</v>
      </c>
      <c r="B3" s="3">
        <v>46174</v>
      </c>
      <c r="C3" s="2" t="s">
        <v>12</v>
      </c>
      <c r="D3" s="2" t="s">
        <v>13</v>
      </c>
      <c r="E3" s="2" t="s">
        <v>10</v>
      </c>
      <c r="F3" s="2" t="s">
        <v>14</v>
      </c>
      <c r="G3" s="2">
        <v>1</v>
      </c>
      <c r="H3" s="2">
        <v>1500</v>
      </c>
    </row>
    <row r="4" spans="1:8" ht="28.8" x14ac:dyDescent="0.3">
      <c r="A4" s="2">
        <v>1003</v>
      </c>
      <c r="B4" s="3">
        <v>46175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</v>
      </c>
      <c r="H4" s="2">
        <v>3500</v>
      </c>
    </row>
    <row r="5" spans="1:8" x14ac:dyDescent="0.3">
      <c r="A5" s="2">
        <v>1004</v>
      </c>
      <c r="B5" s="3">
        <v>46175</v>
      </c>
      <c r="C5" s="2" t="s">
        <v>19</v>
      </c>
      <c r="D5" s="2" t="s">
        <v>20</v>
      </c>
      <c r="E5" s="2" t="s">
        <v>10</v>
      </c>
      <c r="F5" s="2" t="s">
        <v>21</v>
      </c>
      <c r="G5" s="2">
        <v>2</v>
      </c>
      <c r="H5" s="2">
        <v>12000</v>
      </c>
    </row>
    <row r="6" spans="1:8" ht="28.8" x14ac:dyDescent="0.3">
      <c r="A6" s="2">
        <v>1005</v>
      </c>
      <c r="B6" s="3">
        <v>46176</v>
      </c>
      <c r="C6" s="2" t="s">
        <v>22</v>
      </c>
      <c r="D6" s="2" t="s">
        <v>9</v>
      </c>
      <c r="E6" s="2" t="s">
        <v>23</v>
      </c>
      <c r="F6" s="2" t="s">
        <v>24</v>
      </c>
      <c r="G6" s="2">
        <v>3</v>
      </c>
      <c r="H6" s="2">
        <v>2200</v>
      </c>
    </row>
    <row r="7" spans="1:8" ht="28.8" x14ac:dyDescent="0.3">
      <c r="A7" s="2">
        <v>1006</v>
      </c>
      <c r="B7" s="3">
        <v>46176</v>
      </c>
      <c r="C7" s="2" t="s">
        <v>25</v>
      </c>
      <c r="D7" s="2" t="s">
        <v>26</v>
      </c>
      <c r="E7" s="2" t="s">
        <v>10</v>
      </c>
      <c r="F7" s="2" t="s">
        <v>27</v>
      </c>
      <c r="G7" s="2">
        <v>2</v>
      </c>
      <c r="H7" s="2">
        <v>1800</v>
      </c>
    </row>
    <row r="8" spans="1:8" x14ac:dyDescent="0.3">
      <c r="A8" s="2">
        <v>1007</v>
      </c>
      <c r="B8" s="3">
        <v>46177</v>
      </c>
      <c r="C8" s="2" t="s">
        <v>28</v>
      </c>
      <c r="D8" s="2" t="s">
        <v>29</v>
      </c>
      <c r="E8" s="2" t="s">
        <v>17</v>
      </c>
      <c r="F8" s="2" t="s">
        <v>30</v>
      </c>
      <c r="G8" s="2">
        <v>1</v>
      </c>
      <c r="H8" s="2">
        <v>6500</v>
      </c>
    </row>
    <row r="9" spans="1:8" x14ac:dyDescent="0.3">
      <c r="A9" s="2">
        <v>1008</v>
      </c>
      <c r="B9" s="3">
        <v>46177</v>
      </c>
      <c r="C9" s="2" t="s">
        <v>31</v>
      </c>
      <c r="D9" s="2" t="s">
        <v>13</v>
      </c>
      <c r="E9" s="2" t="s">
        <v>23</v>
      </c>
      <c r="F9" s="2" t="s">
        <v>32</v>
      </c>
      <c r="G9" s="2">
        <v>2</v>
      </c>
      <c r="H9" s="2">
        <v>2800</v>
      </c>
    </row>
    <row r="10" spans="1:8" ht="28.8" x14ac:dyDescent="0.3">
      <c r="A10" s="2">
        <v>1009</v>
      </c>
      <c r="B10" s="3">
        <v>46178</v>
      </c>
      <c r="C10" s="2" t="s">
        <v>33</v>
      </c>
      <c r="D10" s="2" t="s">
        <v>16</v>
      </c>
      <c r="E10" s="2" t="s">
        <v>10</v>
      </c>
      <c r="F10" s="2" t="s">
        <v>34</v>
      </c>
      <c r="G10" s="2">
        <v>4</v>
      </c>
      <c r="H10" s="2">
        <v>2500</v>
      </c>
    </row>
    <row r="11" spans="1:8" ht="28.8" x14ac:dyDescent="0.3">
      <c r="A11" s="2">
        <v>1010</v>
      </c>
      <c r="B11" s="3">
        <v>46178</v>
      </c>
      <c r="C11" s="2" t="s">
        <v>35</v>
      </c>
      <c r="D11" s="2" t="s">
        <v>9</v>
      </c>
      <c r="E11" s="2" t="s">
        <v>17</v>
      </c>
      <c r="F11" s="2" t="s">
        <v>36</v>
      </c>
      <c r="G11" s="2">
        <v>1</v>
      </c>
      <c r="H11" s="2">
        <v>9000</v>
      </c>
    </row>
    <row r="12" spans="1:8" x14ac:dyDescent="0.3">
      <c r="A12" s="2">
        <v>1011</v>
      </c>
      <c r="B12" s="3">
        <v>46179</v>
      </c>
      <c r="C12" s="2" t="s">
        <v>37</v>
      </c>
      <c r="D12" s="2" t="s">
        <v>20</v>
      </c>
      <c r="E12" s="2" t="s">
        <v>23</v>
      </c>
      <c r="F12" s="2" t="s">
        <v>38</v>
      </c>
      <c r="G12" s="2">
        <v>2</v>
      </c>
      <c r="H12" s="2">
        <v>3200</v>
      </c>
    </row>
    <row r="13" spans="1:8" ht="28.8" x14ac:dyDescent="0.3">
      <c r="A13" s="2">
        <v>1012</v>
      </c>
      <c r="B13" s="3">
        <v>46179</v>
      </c>
      <c r="C13" s="2" t="s">
        <v>39</v>
      </c>
      <c r="D13" s="2" t="s">
        <v>29</v>
      </c>
      <c r="E13" s="2" t="s">
        <v>10</v>
      </c>
      <c r="F13" s="2" t="s">
        <v>40</v>
      </c>
      <c r="G13" s="2">
        <v>1</v>
      </c>
      <c r="H13" s="2">
        <v>8500</v>
      </c>
    </row>
    <row r="14" spans="1:8" ht="28.8" x14ac:dyDescent="0.3">
      <c r="A14" s="2">
        <v>1013</v>
      </c>
      <c r="B14" s="3">
        <v>46180</v>
      </c>
      <c r="C14" s="2" t="s">
        <v>41</v>
      </c>
      <c r="D14" s="2" t="s">
        <v>13</v>
      </c>
      <c r="E14" s="2" t="s">
        <v>17</v>
      </c>
      <c r="F14" s="2" t="s">
        <v>42</v>
      </c>
      <c r="G14" s="2">
        <v>1</v>
      </c>
      <c r="H14" s="2">
        <v>11000</v>
      </c>
    </row>
    <row r="15" spans="1:8" ht="28.8" x14ac:dyDescent="0.3">
      <c r="A15" s="2">
        <v>1014</v>
      </c>
      <c r="B15" s="3">
        <v>46180</v>
      </c>
      <c r="C15" s="2" t="s">
        <v>43</v>
      </c>
      <c r="D15" s="2" t="s">
        <v>26</v>
      </c>
      <c r="E15" s="2" t="s">
        <v>23</v>
      </c>
      <c r="F15" s="2" t="s">
        <v>44</v>
      </c>
      <c r="G15" s="2">
        <v>5</v>
      </c>
      <c r="H15" s="2">
        <v>700</v>
      </c>
    </row>
    <row r="16" spans="1:8" ht="28.8" x14ac:dyDescent="0.3">
      <c r="A16" s="2">
        <v>1015</v>
      </c>
      <c r="B16" s="3">
        <v>46181</v>
      </c>
      <c r="C16" s="2" t="s">
        <v>45</v>
      </c>
      <c r="D16" s="2" t="s">
        <v>9</v>
      </c>
      <c r="E16" s="2" t="s">
        <v>10</v>
      </c>
      <c r="F16" s="2" t="s">
        <v>46</v>
      </c>
      <c r="G16" s="2">
        <v>2</v>
      </c>
      <c r="H16" s="2">
        <v>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9F25-E13F-4789-9271-0C586A6B4104}">
  <dimension ref="A1:I17"/>
  <sheetViews>
    <sheetView topLeftCell="A2" workbookViewId="0">
      <selection activeCell="E6" sqref="E6"/>
    </sheetView>
  </sheetViews>
  <sheetFormatPr defaultRowHeight="14.4" x14ac:dyDescent="0.3"/>
  <cols>
    <col min="2" max="2" width="15.6640625" customWidth="1"/>
    <col min="4" max="4" width="10.33203125" customWidth="1"/>
    <col min="5" max="5" width="13" bestFit="1" customWidth="1"/>
    <col min="6" max="6" width="17.109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</v>
      </c>
    </row>
    <row r="2" spans="1:9" ht="28.8" x14ac:dyDescent="0.3">
      <c r="A2" s="2">
        <v>1004</v>
      </c>
      <c r="B2" s="3">
        <v>46175</v>
      </c>
      <c r="C2" s="2" t="s">
        <v>19</v>
      </c>
      <c r="D2" s="2" t="s">
        <v>20</v>
      </c>
      <c r="E2" s="2" t="s">
        <v>10</v>
      </c>
      <c r="F2" s="2" t="s">
        <v>21</v>
      </c>
      <c r="G2" s="2">
        <v>2</v>
      </c>
      <c r="H2" s="2">
        <v>12000</v>
      </c>
      <c r="I2" s="2">
        <f t="shared" ref="I2:I16" si="0">G2*H2</f>
        <v>24000</v>
      </c>
    </row>
    <row r="3" spans="1:9" ht="28.8" x14ac:dyDescent="0.3">
      <c r="A3" s="2">
        <v>1013</v>
      </c>
      <c r="B3" s="3">
        <v>46180</v>
      </c>
      <c r="C3" s="2" t="s">
        <v>41</v>
      </c>
      <c r="D3" s="2" t="s">
        <v>13</v>
      </c>
      <c r="E3" s="2" t="s">
        <v>17</v>
      </c>
      <c r="F3" s="2" t="s">
        <v>42</v>
      </c>
      <c r="G3" s="2">
        <v>1</v>
      </c>
      <c r="H3" s="2">
        <v>11000</v>
      </c>
      <c r="I3" s="2">
        <f t="shared" si="0"/>
        <v>11000</v>
      </c>
    </row>
    <row r="4" spans="1:9" ht="28.8" x14ac:dyDescent="0.3">
      <c r="A4" s="2">
        <v>1009</v>
      </c>
      <c r="B4" s="3">
        <v>46178</v>
      </c>
      <c r="C4" s="2" t="s">
        <v>33</v>
      </c>
      <c r="D4" s="2" t="s">
        <v>16</v>
      </c>
      <c r="E4" s="2" t="s">
        <v>10</v>
      </c>
      <c r="F4" s="2" t="s">
        <v>34</v>
      </c>
      <c r="G4" s="2">
        <v>4</v>
      </c>
      <c r="H4" s="2">
        <v>2500</v>
      </c>
      <c r="I4" s="2">
        <f t="shared" si="0"/>
        <v>10000</v>
      </c>
    </row>
    <row r="5" spans="1:9" ht="28.8" x14ac:dyDescent="0.3">
      <c r="A5" s="2">
        <v>1010</v>
      </c>
      <c r="B5" s="3">
        <v>46178</v>
      </c>
      <c r="C5" s="2" t="s">
        <v>35</v>
      </c>
      <c r="D5" s="2" t="s">
        <v>9</v>
      </c>
      <c r="E5" s="2" t="s">
        <v>17</v>
      </c>
      <c r="F5" s="2" t="s">
        <v>36</v>
      </c>
      <c r="G5" s="2">
        <v>1</v>
      </c>
      <c r="H5" s="2">
        <v>9000</v>
      </c>
      <c r="I5" s="2">
        <f t="shared" si="0"/>
        <v>9000</v>
      </c>
    </row>
    <row r="6" spans="1:9" ht="28.8" x14ac:dyDescent="0.3">
      <c r="A6" s="2">
        <v>1012</v>
      </c>
      <c r="B6" s="3">
        <v>46179</v>
      </c>
      <c r="C6" s="2" t="s">
        <v>39</v>
      </c>
      <c r="D6" s="2" t="s">
        <v>29</v>
      </c>
      <c r="E6" s="2" t="s">
        <v>10</v>
      </c>
      <c r="F6" s="2" t="s">
        <v>40</v>
      </c>
      <c r="G6" s="2">
        <v>1</v>
      </c>
      <c r="H6" s="2">
        <v>8500</v>
      </c>
      <c r="I6" s="2">
        <f t="shared" si="0"/>
        <v>8500</v>
      </c>
    </row>
    <row r="7" spans="1:9" ht="28.8" x14ac:dyDescent="0.3">
      <c r="A7" s="2">
        <v>1005</v>
      </c>
      <c r="B7" s="3">
        <v>46176</v>
      </c>
      <c r="C7" s="2" t="s">
        <v>22</v>
      </c>
      <c r="D7" s="2" t="s">
        <v>9</v>
      </c>
      <c r="E7" s="2" t="s">
        <v>23</v>
      </c>
      <c r="F7" s="2" t="s">
        <v>24</v>
      </c>
      <c r="G7" s="2">
        <v>3</v>
      </c>
      <c r="H7" s="2">
        <v>2200</v>
      </c>
      <c r="I7" s="2">
        <f t="shared" si="0"/>
        <v>6600</v>
      </c>
    </row>
    <row r="8" spans="1:9" x14ac:dyDescent="0.3">
      <c r="A8" s="2">
        <v>1007</v>
      </c>
      <c r="B8" s="3">
        <v>46177</v>
      </c>
      <c r="C8" s="2" t="s">
        <v>28</v>
      </c>
      <c r="D8" s="2" t="s">
        <v>29</v>
      </c>
      <c r="E8" s="2" t="s">
        <v>17</v>
      </c>
      <c r="F8" s="2" t="s">
        <v>30</v>
      </c>
      <c r="G8" s="2">
        <v>1</v>
      </c>
      <c r="H8" s="2">
        <v>6500</v>
      </c>
      <c r="I8" s="2">
        <f t="shared" si="0"/>
        <v>6500</v>
      </c>
    </row>
    <row r="9" spans="1:9" x14ac:dyDescent="0.3">
      <c r="A9" s="2">
        <v>1011</v>
      </c>
      <c r="B9" s="3">
        <v>46179</v>
      </c>
      <c r="C9" s="2" t="s">
        <v>37</v>
      </c>
      <c r="D9" s="2" t="s">
        <v>20</v>
      </c>
      <c r="E9" s="2" t="s">
        <v>23</v>
      </c>
      <c r="F9" s="2" t="s">
        <v>38</v>
      </c>
      <c r="G9" s="2">
        <v>2</v>
      </c>
      <c r="H9" s="2">
        <v>3200</v>
      </c>
      <c r="I9" s="2">
        <f t="shared" si="0"/>
        <v>6400</v>
      </c>
    </row>
    <row r="10" spans="1:9" ht="28.8" x14ac:dyDescent="0.3">
      <c r="A10" s="2">
        <v>1015</v>
      </c>
      <c r="B10" s="3">
        <v>46181</v>
      </c>
      <c r="C10" s="2" t="s">
        <v>45</v>
      </c>
      <c r="D10" s="2" t="s">
        <v>9</v>
      </c>
      <c r="E10" s="2" t="s">
        <v>10</v>
      </c>
      <c r="F10" s="2" t="s">
        <v>46</v>
      </c>
      <c r="G10" s="2">
        <v>2</v>
      </c>
      <c r="H10" s="2">
        <v>3000</v>
      </c>
      <c r="I10" s="2">
        <f t="shared" si="0"/>
        <v>6000</v>
      </c>
    </row>
    <row r="11" spans="1:9" x14ac:dyDescent="0.3">
      <c r="A11" s="2">
        <v>1008</v>
      </c>
      <c r="B11" s="3">
        <v>46177</v>
      </c>
      <c r="C11" s="2" t="s">
        <v>31</v>
      </c>
      <c r="D11" s="2" t="s">
        <v>13</v>
      </c>
      <c r="E11" s="2" t="s">
        <v>23</v>
      </c>
      <c r="F11" s="2" t="s">
        <v>32</v>
      </c>
      <c r="G11" s="2">
        <v>2</v>
      </c>
      <c r="H11" s="2">
        <v>2800</v>
      </c>
      <c r="I11" s="2">
        <f t="shared" si="0"/>
        <v>5600</v>
      </c>
    </row>
    <row r="12" spans="1:9" ht="28.8" x14ac:dyDescent="0.3">
      <c r="A12" s="2">
        <v>1006</v>
      </c>
      <c r="B12" s="3">
        <v>46176</v>
      </c>
      <c r="C12" s="2" t="s">
        <v>25</v>
      </c>
      <c r="D12" s="2" t="s">
        <v>26</v>
      </c>
      <c r="E12" s="2" t="s">
        <v>10</v>
      </c>
      <c r="F12" s="2" t="s">
        <v>27</v>
      </c>
      <c r="G12" s="2">
        <v>2</v>
      </c>
      <c r="H12" s="2">
        <v>1800</v>
      </c>
      <c r="I12" s="2">
        <f t="shared" si="0"/>
        <v>3600</v>
      </c>
    </row>
    <row r="13" spans="1:9" ht="28.8" x14ac:dyDescent="0.3">
      <c r="A13" s="2">
        <v>1003</v>
      </c>
      <c r="B13" s="3">
        <v>46175</v>
      </c>
      <c r="C13" s="2" t="s">
        <v>15</v>
      </c>
      <c r="D13" s="2" t="s">
        <v>16</v>
      </c>
      <c r="E13" s="2" t="s">
        <v>17</v>
      </c>
      <c r="F13" s="2" t="s">
        <v>18</v>
      </c>
      <c r="G13" s="2">
        <v>1</v>
      </c>
      <c r="H13" s="2">
        <v>3500</v>
      </c>
      <c r="I13" s="2">
        <f t="shared" si="0"/>
        <v>3500</v>
      </c>
    </row>
    <row r="14" spans="1:9" ht="28.8" x14ac:dyDescent="0.3">
      <c r="A14" s="2">
        <v>1014</v>
      </c>
      <c r="B14" s="3">
        <v>46180</v>
      </c>
      <c r="C14" s="2" t="s">
        <v>43</v>
      </c>
      <c r="D14" s="2" t="s">
        <v>26</v>
      </c>
      <c r="E14" s="2" t="s">
        <v>23</v>
      </c>
      <c r="F14" s="2" t="s">
        <v>44</v>
      </c>
      <c r="G14" s="2">
        <v>5</v>
      </c>
      <c r="H14" s="2">
        <v>700</v>
      </c>
      <c r="I14" s="2">
        <f t="shared" si="0"/>
        <v>3500</v>
      </c>
    </row>
    <row r="15" spans="1:9" ht="28.8" x14ac:dyDescent="0.3">
      <c r="A15" s="2">
        <v>1001</v>
      </c>
      <c r="B15" s="3">
        <v>46174</v>
      </c>
      <c r="C15" s="2" t="s">
        <v>8</v>
      </c>
      <c r="D15" s="2" t="s">
        <v>9</v>
      </c>
      <c r="E15" s="2" t="s">
        <v>10</v>
      </c>
      <c r="F15" s="2" t="s">
        <v>11</v>
      </c>
      <c r="G15" s="2">
        <v>2</v>
      </c>
      <c r="H15" s="2">
        <v>800</v>
      </c>
      <c r="I15" s="2">
        <f t="shared" si="0"/>
        <v>1600</v>
      </c>
    </row>
    <row r="16" spans="1:9" ht="28.8" x14ac:dyDescent="0.3">
      <c r="A16" s="2">
        <v>1002</v>
      </c>
      <c r="B16" s="3">
        <v>46174</v>
      </c>
      <c r="C16" s="2" t="s">
        <v>12</v>
      </c>
      <c r="D16" s="2" t="s">
        <v>13</v>
      </c>
      <c r="E16" s="2" t="s">
        <v>10</v>
      </c>
      <c r="F16" s="2" t="s">
        <v>14</v>
      </c>
      <c r="G16" s="2">
        <v>1</v>
      </c>
      <c r="H16" s="2">
        <v>1500</v>
      </c>
      <c r="I16" s="2">
        <f t="shared" si="0"/>
        <v>1500</v>
      </c>
    </row>
    <row r="17" spans="1:9" x14ac:dyDescent="0.3">
      <c r="A17" s="2"/>
      <c r="B17" s="3"/>
      <c r="C17" s="2"/>
      <c r="D17" s="2"/>
      <c r="E17" s="2"/>
      <c r="F17" s="2"/>
      <c r="G17" s="2">
        <f>SUM(G2:G16)</f>
        <v>30</v>
      </c>
      <c r="H17" s="2">
        <f>AVERAGE(H2:H16)</f>
        <v>4600</v>
      </c>
      <c r="I17" s="2">
        <f>SUM(I2:I16)</f>
        <v>107300</v>
      </c>
    </row>
  </sheetData>
  <conditionalFormatting sqref="G1:G1048576">
    <cfRule type="cellIs" dxfId="3" priority="1" operator="greaterThan">
      <formula>2</formula>
    </cfRule>
    <cfRule type="cellIs" dxfId="2" priority="2" operator="greaterThan">
      <formula>2</formula>
    </cfRule>
  </conditionalFormatting>
  <conditionalFormatting sqref="I1">
    <cfRule type="cellIs" dxfId="1" priority="4" operator="greaterThan">
      <formula>10000</formula>
    </cfRule>
  </conditionalFormatting>
  <conditionalFormatting sqref="I1:I1048576">
    <cfRule type="cellIs" dxfId="0" priority="3" operator="greaterThan">
      <formula>10000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61E6-AC2B-489D-ADA5-282D120D2C14}">
  <dimension ref="A1:B68"/>
  <sheetViews>
    <sheetView tabSelected="1" topLeftCell="A35" zoomScale="59" workbookViewId="0">
      <selection activeCell="B55" sqref="B55"/>
    </sheetView>
  </sheetViews>
  <sheetFormatPr defaultRowHeight="14.4" x14ac:dyDescent="0.3"/>
  <cols>
    <col min="1" max="1" width="16.109375" bestFit="1" customWidth="1"/>
    <col min="2" max="2" width="14.88671875" bestFit="1" customWidth="1"/>
  </cols>
  <sheetData>
    <row r="1" spans="1:2" x14ac:dyDescent="0.3">
      <c r="A1" s="4" t="s">
        <v>48</v>
      </c>
      <c r="B1" t="s">
        <v>50</v>
      </c>
    </row>
    <row r="2" spans="1:2" x14ac:dyDescent="0.3">
      <c r="A2" s="5" t="s">
        <v>26</v>
      </c>
      <c r="B2">
        <v>7100</v>
      </c>
    </row>
    <row r="3" spans="1:2" x14ac:dyDescent="0.3">
      <c r="A3" s="5" t="s">
        <v>20</v>
      </c>
      <c r="B3">
        <v>30400</v>
      </c>
    </row>
    <row r="4" spans="1:2" x14ac:dyDescent="0.3">
      <c r="A4" s="5" t="s">
        <v>16</v>
      </c>
      <c r="B4">
        <v>13500</v>
      </c>
    </row>
    <row r="5" spans="1:2" x14ac:dyDescent="0.3">
      <c r="A5" s="5" t="s">
        <v>9</v>
      </c>
      <c r="B5">
        <v>23200</v>
      </c>
    </row>
    <row r="6" spans="1:2" x14ac:dyDescent="0.3">
      <c r="A6" s="5" t="s">
        <v>13</v>
      </c>
      <c r="B6">
        <v>18100</v>
      </c>
    </row>
    <row r="7" spans="1:2" x14ac:dyDescent="0.3">
      <c r="A7" s="5" t="s">
        <v>29</v>
      </c>
      <c r="B7">
        <v>15000</v>
      </c>
    </row>
    <row r="8" spans="1:2" x14ac:dyDescent="0.3">
      <c r="A8" s="5" t="s">
        <v>49</v>
      </c>
      <c r="B8">
        <v>107300</v>
      </c>
    </row>
    <row r="19" spans="1:2" x14ac:dyDescent="0.3">
      <c r="A19" s="4" t="s">
        <v>48</v>
      </c>
      <c r="B19" t="s">
        <v>50</v>
      </c>
    </row>
    <row r="20" spans="1:2" x14ac:dyDescent="0.3">
      <c r="A20" s="5" t="s">
        <v>10</v>
      </c>
      <c r="B20">
        <v>55200</v>
      </c>
    </row>
    <row r="21" spans="1:2" x14ac:dyDescent="0.3">
      <c r="A21" s="5" t="s">
        <v>23</v>
      </c>
      <c r="B21">
        <v>22100</v>
      </c>
    </row>
    <row r="22" spans="1:2" x14ac:dyDescent="0.3">
      <c r="A22" s="5" t="s">
        <v>17</v>
      </c>
      <c r="B22">
        <v>30000</v>
      </c>
    </row>
    <row r="23" spans="1:2" x14ac:dyDescent="0.3">
      <c r="A23" s="5" t="s">
        <v>49</v>
      </c>
      <c r="B23">
        <v>107300</v>
      </c>
    </row>
    <row r="36" spans="1:2" x14ac:dyDescent="0.3">
      <c r="A36" s="4" t="s">
        <v>48</v>
      </c>
      <c r="B36" t="s">
        <v>51</v>
      </c>
    </row>
    <row r="37" spans="1:2" x14ac:dyDescent="0.3">
      <c r="A37" s="5" t="s">
        <v>26</v>
      </c>
      <c r="B37">
        <v>2</v>
      </c>
    </row>
    <row r="38" spans="1:2" x14ac:dyDescent="0.3">
      <c r="A38" s="5" t="s">
        <v>20</v>
      </c>
      <c r="B38">
        <v>2</v>
      </c>
    </row>
    <row r="39" spans="1:2" x14ac:dyDescent="0.3">
      <c r="A39" s="5" t="s">
        <v>16</v>
      </c>
      <c r="B39">
        <v>2</v>
      </c>
    </row>
    <row r="40" spans="1:2" x14ac:dyDescent="0.3">
      <c r="A40" s="5" t="s">
        <v>9</v>
      </c>
      <c r="B40">
        <v>4</v>
      </c>
    </row>
    <row r="41" spans="1:2" x14ac:dyDescent="0.3">
      <c r="A41" s="5" t="s">
        <v>13</v>
      </c>
      <c r="B41">
        <v>3</v>
      </c>
    </row>
    <row r="42" spans="1:2" x14ac:dyDescent="0.3">
      <c r="A42" s="5" t="s">
        <v>29</v>
      </c>
      <c r="B42">
        <v>2</v>
      </c>
    </row>
    <row r="43" spans="1:2" x14ac:dyDescent="0.3">
      <c r="A43" s="5" t="s">
        <v>49</v>
      </c>
      <c r="B43">
        <v>15</v>
      </c>
    </row>
    <row r="52" spans="1:2" x14ac:dyDescent="0.3">
      <c r="A52" s="4" t="s">
        <v>48</v>
      </c>
      <c r="B52" t="s">
        <v>52</v>
      </c>
    </row>
    <row r="53" spans="1:2" x14ac:dyDescent="0.3">
      <c r="A53" s="5" t="s">
        <v>44</v>
      </c>
      <c r="B53">
        <v>5</v>
      </c>
    </row>
    <row r="54" spans="1:2" x14ac:dyDescent="0.3">
      <c r="A54" s="5" t="s">
        <v>34</v>
      </c>
      <c r="B54">
        <v>4</v>
      </c>
    </row>
    <row r="55" spans="1:2" x14ac:dyDescent="0.3">
      <c r="A55" s="5" t="s">
        <v>24</v>
      </c>
      <c r="B55">
        <v>3</v>
      </c>
    </row>
    <row r="56" spans="1:2" x14ac:dyDescent="0.3">
      <c r="A56" s="5" t="s">
        <v>11</v>
      </c>
      <c r="B56">
        <v>2</v>
      </c>
    </row>
    <row r="57" spans="1:2" x14ac:dyDescent="0.3">
      <c r="A57" s="5" t="s">
        <v>21</v>
      </c>
      <c r="B57">
        <v>2</v>
      </c>
    </row>
    <row r="58" spans="1:2" x14ac:dyDescent="0.3">
      <c r="A58" s="5" t="s">
        <v>46</v>
      </c>
      <c r="B58">
        <v>2</v>
      </c>
    </row>
    <row r="59" spans="1:2" x14ac:dyDescent="0.3">
      <c r="A59" s="5" t="s">
        <v>38</v>
      </c>
      <c r="B59">
        <v>2</v>
      </c>
    </row>
    <row r="60" spans="1:2" x14ac:dyDescent="0.3">
      <c r="A60" s="5" t="s">
        <v>32</v>
      </c>
      <c r="B60">
        <v>2</v>
      </c>
    </row>
    <row r="61" spans="1:2" x14ac:dyDescent="0.3">
      <c r="A61" s="5" t="s">
        <v>27</v>
      </c>
      <c r="B61">
        <v>2</v>
      </c>
    </row>
    <row r="62" spans="1:2" x14ac:dyDescent="0.3">
      <c r="A62" s="5" t="s">
        <v>18</v>
      </c>
      <c r="B62">
        <v>1</v>
      </c>
    </row>
    <row r="63" spans="1:2" x14ac:dyDescent="0.3">
      <c r="A63" s="5" t="s">
        <v>14</v>
      </c>
      <c r="B63">
        <v>1</v>
      </c>
    </row>
    <row r="64" spans="1:2" x14ac:dyDescent="0.3">
      <c r="A64" s="5" t="s">
        <v>36</v>
      </c>
      <c r="B64">
        <v>1</v>
      </c>
    </row>
    <row r="65" spans="1:2" x14ac:dyDescent="0.3">
      <c r="A65" s="5" t="s">
        <v>30</v>
      </c>
      <c r="B65">
        <v>1</v>
      </c>
    </row>
    <row r="66" spans="1:2" x14ac:dyDescent="0.3">
      <c r="A66" s="5" t="s">
        <v>40</v>
      </c>
      <c r="B66">
        <v>1</v>
      </c>
    </row>
    <row r="67" spans="1:2" x14ac:dyDescent="0.3">
      <c r="A67" s="5" t="s">
        <v>42</v>
      </c>
      <c r="B67">
        <v>1</v>
      </c>
    </row>
    <row r="68" spans="1:2" x14ac:dyDescent="0.3">
      <c r="A68" s="5" t="s">
        <v>49</v>
      </c>
      <c r="B68">
        <v>30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afzal</dc:creator>
  <cp:lastModifiedBy>hafsa afzal</cp:lastModifiedBy>
  <dcterms:created xsi:type="dcterms:W3CDTF">2026-06-15T08:46:47Z</dcterms:created>
  <dcterms:modified xsi:type="dcterms:W3CDTF">2026-06-17T14:56:08Z</dcterms:modified>
</cp:coreProperties>
</file>